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dier Nathan\Documents\BTS\Cours\SN\Acer Project\"/>
    </mc:Choice>
  </mc:AlternateContent>
  <xr:revisionPtr revIDLastSave="0" documentId="13_ncr:1_{5324FB1D-9E37-4526-BD3C-8DA2EFBAB8DD}" xr6:coauthVersionLast="45" xr6:coauthVersionMax="45" xr10:uidLastSave="{00000000-0000-0000-0000-000000000000}"/>
  <bookViews>
    <workbookView xWindow="-110" yWindow="-110" windowWidth="19420" windowHeight="10420" xr2:uid="{728E2505-9C9F-486F-A769-3A2E27C6A4B5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0" i="1" l="1"/>
  <c r="I13" i="1"/>
  <c r="I4" i="1" l="1"/>
  <c r="I5" i="1"/>
  <c r="I6" i="1"/>
  <c r="I7" i="1"/>
  <c r="I8" i="1"/>
  <c r="I9" i="1"/>
  <c r="I11" i="1"/>
  <c r="I12" i="1"/>
  <c r="I14" i="1"/>
</calcChain>
</file>

<file path=xl/sharedStrings.xml><?xml version="1.0" encoding="utf-8"?>
<sst xmlns="http://schemas.openxmlformats.org/spreadsheetml/2006/main" count="57" uniqueCount="42">
  <si>
    <t>Liste matériel projet ACER (Hors Armature)</t>
  </si>
  <si>
    <t>Désigantion</t>
  </si>
  <si>
    <t>Caractéristique</t>
  </si>
  <si>
    <t>Fournisseur</t>
  </si>
  <si>
    <t>Référence</t>
  </si>
  <si>
    <t>Prix HT Unitaire</t>
  </si>
  <si>
    <t>Unité</t>
  </si>
  <si>
    <t>Quantité</t>
  </si>
  <si>
    <t>Prix HT</t>
  </si>
  <si>
    <t>Arduino MEGA 2560</t>
  </si>
  <si>
    <t>Français</t>
  </si>
  <si>
    <t>Amazon</t>
  </si>
  <si>
    <t>U</t>
  </si>
  <si>
    <t>https://www.amazon.fr/Semoic-Mega2560-Atmega2560-16AU-Compatible-Arduino/dp/B07PTZ5JV4/ref=sr_1_7?__mk_fr_FR=%C3%85M%C3%85%C5%BD%C3%95%C3%91&amp;crid=15O730G6DT979&amp;keywords=arduino+mega+2560&amp;qid=1572361820&amp;s=electronics&amp;sprefix=arduino+mega%2Celectronics%2C186&amp;sr=1-7</t>
  </si>
  <si>
    <t>Alimentation Arduino</t>
  </si>
  <si>
    <t>12V 2A</t>
  </si>
  <si>
    <t>https://www.amazon.fr/ZOSI-Adaptateur-Secteur-dalimentation-Transformateur/dp/B015MGWBYE/ref=sr_1_3?keywords=alimentation+12v+2a&amp;qid=1572361771&amp;s=electronics&amp;sr=1-3</t>
  </si>
  <si>
    <t>Module enregistrement</t>
  </si>
  <si>
    <t>https://www.amazon.fr/DEnregistrement-Donn%C3%A9es-DAcquisition-Bouclier-DEnregistreur/dp/B07Y23H6L3/ref=sr_1_fkmr0_2?__mk_fr_FR=%C3%85M%C3%85%C5%BD%C3%95%C3%91&amp;keywords=Module+D%27Enregistrement+De+Donn%C3%A9es+Compatible+Avec+Arduino&amp;qid=1572362396&amp;s=industrial&amp;sr=8-2-fkmr0</t>
  </si>
  <si>
    <t>Carte SD</t>
  </si>
  <si>
    <t>4 Go</t>
  </si>
  <si>
    <t>https://www.amazon.fr/dp/B002WE6CTU/ref=twister_B07STFZ1GF</t>
  </si>
  <si>
    <t>Écran LCD TFT</t>
  </si>
  <si>
    <t>3,5"</t>
  </si>
  <si>
    <t>https://www.amazon.fr/%C3%89cran-r%C3%A9solution-Support-Arduino-%E2%80%BFMEGA/dp/B07N4KXP5X/ref=sr_1_5?__mk_fr_FR=%C3%85M%C3%85%C5%BD%C3%95%C3%91&amp;keywords=arduino+ecran+3.5+pouces&amp;qid=1572363026&amp;sr=8-5</t>
  </si>
  <si>
    <t>2 m</t>
  </si>
  <si>
    <t>https://www.amazon.fr/Tree-Life-GY-VL53L0XV2-d%C3%A9rivation-Distance/dp/B07QZR61D2/ref=sr_1_1?__mk_fr_FR=%C3%85M%C3%85%C5%BD%C3%95%C3%91&amp;keywords=VL53L0X&amp;qid=1572362128&amp;s=industrial&amp;sr=1-1</t>
  </si>
  <si>
    <t>Câbles</t>
  </si>
  <si>
    <t>6 bobines</t>
  </si>
  <si>
    <t>https://www.amazon.fr/d%C3%A9lectronique-silicone-diff%C3%A9rentes-R%C3%A9sistance-temp%C3%A9ratures/dp/B07G715HYY/ref=sr_1_16?__mk_fr_FR=%C3%85M%C3%85%C5%BD%C3%95%C3%91&amp;keywords=bobine%2Bc%C3%A2ble&amp;qid=1572363304&amp;sr=8-16&amp;th=1</t>
  </si>
  <si>
    <t>Câble 3G</t>
  </si>
  <si>
    <t>5 m</t>
  </si>
  <si>
    <t>Mano Mano</t>
  </si>
  <si>
    <t>L</t>
  </si>
  <si>
    <t>https://www.manomano.fr/p/cable-r2v-3g4-8540275?model_id=8540287</t>
  </si>
  <si>
    <t>Fiche électrique</t>
  </si>
  <si>
    <t>https://www.amazon.fr/Legrand-LEG93828-Fiche-Etanche-Plexo/dp/B00A7MCCIY/ref=sr_1_44?__mk_fr_FR=%C3%85M%C3%85%C5%BD%C3%95%C3%91&amp;keywords=prise+230&amp;qid=1572363900&amp;sr=8-44</t>
  </si>
  <si>
    <t>Total</t>
  </si>
  <si>
    <t>MouserElectronic</t>
  </si>
  <si>
    <t>https://www.mouser.fr/ProductDetail/DFRobot/SEN0304?qs=sGAEpiMZZMs29kr3d%252BndIy9JFYQlx0nhzi2rg8wNx7c%3D</t>
  </si>
  <si>
    <t>Capteurs ultrasons</t>
  </si>
  <si>
    <t>Capteurs lasers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</si>
</sst>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0" xfId="0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3" fillId="0" borderId="0" xfId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2">
    <cellStyle name="Lien hypertexte" xfId="1" builtinId="8"/>
    <cellStyle name="Normal" xfId="0" builtinId="0"/>
  </cellStyles>
  <dxfs count="13">
    <dxf>
      <numFmt numFmtId="164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75005C-94E2-4D1E-9C55-D39BE809BEBF}" name="Tableau1" displayName="Tableau1" ref="B3:I13" totalsRowShown="0" headerRowDxfId="12" dataDxfId="10" headerRowBorderDxfId="11" tableBorderDxfId="9" totalsRowBorderDxfId="8">
  <autoFilter ref="B3:I13" xr:uid="{B8E34782-42BE-43A6-A502-BF3AD185C0A8}"/>
  <tableColumns count="8">
    <tableColumn id="1" xr3:uid="{1CACA1BD-A244-4000-BC42-8661425E84B0}" name="Désigantion" dataDxfId="7"/>
    <tableColumn id="2" xr3:uid="{929333BC-FDE4-4AE2-B1C1-75C1B909DBAA}" name="Caractéristique" dataDxfId="6"/>
    <tableColumn id="3" xr3:uid="{0D0F9EF8-5E42-4778-BAE4-B34BCF922D40}" name="Fournisseur" dataDxfId="5"/>
    <tableColumn id="4" xr3:uid="{0B0FF64C-CC1D-436C-B62F-E2770F77B87E}" name="Référence" dataDxfId="4"/>
    <tableColumn id="5" xr3:uid="{42D86835-E22D-450F-A985-A6B471690CF6}" name="Prix HT Unitaire" dataDxfId="3"/>
    <tableColumn id="6" xr3:uid="{0D329F1F-976E-4C79-8228-2FCF00EA2947}" name="Unité" dataDxfId="2"/>
    <tableColumn id="7" xr3:uid="{119A033A-D99E-46B6-972D-2FD296E13B7C}" name="Quantité" dataDxfId="1"/>
    <tableColumn id="8" xr3:uid="{9CEF3C59-1959-40D9-91CE-3DA43236DAE5}" name="Prix HT" dataDxfId="0">
      <calculatedColumnFormula>Tableau1[[#This Row],[Prix HT Unitaire]]*Tableau1[[#This Row],[Quantité]]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nomano.fr/p/cable-r2v-3g4-8540275?model_id=8540287" TargetMode="External"/><Relationship Id="rId3" Type="http://schemas.openxmlformats.org/officeDocument/2006/relationships/hyperlink" Target="https://www.amazon.fr/Tree-Life-GY-VL53L0XV2-d%C3%A9rivation-Distance/dp/B07QZR61D2/ref=sr_1_1?__mk_fr_FR=%C3%85M%C3%85%C5%BD%C3%95%C3%91&amp;keywords=VL53L0X&amp;qid=1572362128&amp;s=industrial&amp;sr=1-1" TargetMode="External"/><Relationship Id="rId7" Type="http://schemas.openxmlformats.org/officeDocument/2006/relationships/hyperlink" Target="https://www.amazon.fr/d%C3%A9lectronique-silicone-diff%C3%A9rentes-R%C3%A9sistance-temp%C3%A9ratures/dp/B07G715HYY/ref=sr_1_16?__mk_fr_FR=%C3%85M%C3%85%C5%BD%C3%95%C3%91&amp;keywords=bobine%2Bc%C3%A2ble&amp;qid=1572363304&amp;sr=8-16&amp;th=1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www.amazon.fr/Semoic-Mega2560-Atmega2560-16AU-Compatible-Arduino/dp/B07PTZ5JV4/ref=sr_1_7?__mk_fr_FR=%C3%85M%C3%85%C5%BD%C3%95%C3%91&amp;crid=15O730G6DT979&amp;keywords=arduino+mega+2560&amp;qid=1572361820&amp;s=electronics&amp;sprefix=arduino+mega%2Celectronics%2C186&amp;sr=1-7" TargetMode="External"/><Relationship Id="rId1" Type="http://schemas.openxmlformats.org/officeDocument/2006/relationships/hyperlink" Target="https://www.amazon.fr/ZOSI-Adaptateur-Secteur-dalimentation-Transformateur/dp/B015MGWBYE/ref=sr_1_3?keywords=alimentation+12v+2a&amp;qid=1572361771&amp;s=electronics&amp;sr=1-3" TargetMode="External"/><Relationship Id="rId6" Type="http://schemas.openxmlformats.org/officeDocument/2006/relationships/hyperlink" Target="https://www.amazon.fr/%C3%89cran-r%C3%A9solution-Support-Arduino-%E2%80%BFMEGA/dp/B07N4KXP5X/ref=sr_1_5?__mk_fr_FR=%C3%85M%C3%85%C5%BD%C3%95%C3%91&amp;keywords=arduino+ecran+3.5+pouces&amp;qid=1572363026&amp;sr=8-5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amazon.fr/dp/B002WE6CTU/ref=twister_B07STFZ1GF" TargetMode="External"/><Relationship Id="rId10" Type="http://schemas.openxmlformats.org/officeDocument/2006/relationships/hyperlink" Target="https://www.mouser.fr/ProductDetail/DFRobot/SEN0304?qs=sGAEpiMZZMs29kr3d%252BndIy9JFYQlx0nhzi2rg8wNx7c%3D" TargetMode="External"/><Relationship Id="rId4" Type="http://schemas.openxmlformats.org/officeDocument/2006/relationships/hyperlink" Target="https://www.amazon.fr/DEnregistrement-Donn%C3%A9es-DAcquisition-Bouclier-DEnregistreur/dp/B07Y23H6L3/ref=sr_1_fkmr0_2?__mk_fr_FR=%C3%85M%C3%85%C5%BD%C3%95%C3%91&amp;keywords=Module+D%27Enregistrement+De+Donn%C3%A9es+Compatible+Avec+Arduino&amp;qid=1572362396&amp;s=industrial&amp;sr=8-2-fkmr0" TargetMode="External"/><Relationship Id="rId9" Type="http://schemas.openxmlformats.org/officeDocument/2006/relationships/hyperlink" Target="https://www.amazon.fr/Legrand-LEG93828-Fiche-Etanche-Plexo/dp/B00A7MCCIY/ref=sr_1_44?__mk_fr_FR=%C3%85M%C3%85%C5%BD%C3%95%C3%91&amp;keywords=prise+230&amp;qid=1572363900&amp;sr=8-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F1AF1-7D31-4EF4-9C07-1BD8D9FC860C}">
  <dimension ref="A2:K33"/>
  <sheetViews>
    <sheetView tabSelected="1" zoomScale="110" zoomScaleNormal="110" workbookViewId="0">
      <selection activeCell="B9" sqref="B9"/>
    </sheetView>
  </sheetViews>
  <sheetFormatPr baseColWidth="10" defaultColWidth="10.7265625" defaultRowHeight="14.5" x14ac:dyDescent="0.35"/>
  <cols>
    <col min="1" max="1" width="2.81640625" customWidth="1"/>
    <col min="2" max="2" width="22.453125" bestFit="1" customWidth="1"/>
    <col min="3" max="3" width="18" bestFit="1" customWidth="1"/>
    <col min="4" max="4" width="14.54296875" bestFit="1" customWidth="1"/>
    <col min="5" max="5" width="13" bestFit="1" customWidth="1"/>
    <col min="6" max="6" width="18.7265625" bestFit="1" customWidth="1"/>
    <col min="7" max="7" width="8.6328125" bestFit="1" customWidth="1"/>
    <col min="8" max="8" width="12" bestFit="1" customWidth="1"/>
    <col min="9" max="9" width="10.08984375" bestFit="1" customWidth="1"/>
    <col min="10" max="10" width="2.81640625" customWidth="1"/>
    <col min="11" max="11" width="255.7265625" bestFit="1" customWidth="1"/>
  </cols>
  <sheetData>
    <row r="2" spans="1:11" ht="18.5" x14ac:dyDescent="0.45">
      <c r="B2" s="18" t="s">
        <v>0</v>
      </c>
      <c r="C2" s="18"/>
      <c r="D2" s="18"/>
      <c r="E2" s="18"/>
      <c r="F2" s="18"/>
      <c r="G2" s="18"/>
      <c r="H2" s="18"/>
      <c r="I2" s="18"/>
    </row>
    <row r="3" spans="1:11" ht="15.5" x14ac:dyDescent="0.35"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3" t="s">
        <v>8</v>
      </c>
    </row>
    <row r="4" spans="1:11" x14ac:dyDescent="0.35">
      <c r="B4" s="5" t="s">
        <v>9</v>
      </c>
      <c r="C4" s="6" t="s">
        <v>10</v>
      </c>
      <c r="D4" s="6" t="s">
        <v>11</v>
      </c>
      <c r="E4" s="14"/>
      <c r="F4" s="9">
        <v>9.0399999999999991</v>
      </c>
      <c r="G4" s="6" t="s">
        <v>12</v>
      </c>
      <c r="H4" s="6">
        <v>1</v>
      </c>
      <c r="I4" s="11">
        <f>Tableau1[[#This Row],[Prix HT Unitaire]]*Tableau1[[#This Row],[Quantité]]</f>
        <v>9.0399999999999991</v>
      </c>
      <c r="K4" s="13" t="s">
        <v>13</v>
      </c>
    </row>
    <row r="5" spans="1:11" x14ac:dyDescent="0.35">
      <c r="B5" s="5" t="s">
        <v>14</v>
      </c>
      <c r="C5" s="6" t="s">
        <v>15</v>
      </c>
      <c r="D5" s="6" t="s">
        <v>11</v>
      </c>
      <c r="E5" s="14"/>
      <c r="F5" s="9">
        <v>9.99</v>
      </c>
      <c r="G5" s="6" t="s">
        <v>12</v>
      </c>
      <c r="H5" s="6">
        <v>1</v>
      </c>
      <c r="I5" s="11">
        <f>Tableau1[[#This Row],[Prix HT Unitaire]]*Tableau1[[#This Row],[Quantité]]</f>
        <v>9.99</v>
      </c>
      <c r="K5" s="13" t="s">
        <v>16</v>
      </c>
    </row>
    <row r="6" spans="1:11" x14ac:dyDescent="0.35">
      <c r="B6" s="5" t="s">
        <v>17</v>
      </c>
      <c r="C6" s="6"/>
      <c r="D6" s="6" t="s">
        <v>11</v>
      </c>
      <c r="E6" s="14"/>
      <c r="F6" s="9">
        <v>4.6900000000000004</v>
      </c>
      <c r="G6" s="6" t="s">
        <v>12</v>
      </c>
      <c r="H6" s="6">
        <v>1</v>
      </c>
      <c r="I6" s="11">
        <f>Tableau1[[#This Row],[Prix HT Unitaire]]*Tableau1[[#This Row],[Quantité]]</f>
        <v>4.6900000000000004</v>
      </c>
      <c r="K6" s="13" t="s">
        <v>18</v>
      </c>
    </row>
    <row r="7" spans="1:11" x14ac:dyDescent="0.35">
      <c r="B7" s="5" t="s">
        <v>19</v>
      </c>
      <c r="C7" s="6" t="s">
        <v>20</v>
      </c>
      <c r="D7" s="6" t="s">
        <v>11</v>
      </c>
      <c r="E7" s="14"/>
      <c r="F7" s="9">
        <v>7.99</v>
      </c>
      <c r="G7" s="6" t="s">
        <v>12</v>
      </c>
      <c r="H7" s="6">
        <v>1</v>
      </c>
      <c r="I7" s="11">
        <f>Tableau1[[#This Row],[Prix HT Unitaire]]*Tableau1[[#This Row],[Quantité]]</f>
        <v>7.99</v>
      </c>
      <c r="K7" s="13" t="s">
        <v>21</v>
      </c>
    </row>
    <row r="8" spans="1:11" x14ac:dyDescent="0.35">
      <c r="B8" s="5" t="s">
        <v>22</v>
      </c>
      <c r="C8" s="6" t="s">
        <v>23</v>
      </c>
      <c r="D8" s="6" t="s">
        <v>11</v>
      </c>
      <c r="E8" s="14"/>
      <c r="F8" s="9">
        <v>14.99</v>
      </c>
      <c r="G8" s="6" t="s">
        <v>12</v>
      </c>
      <c r="H8" s="6">
        <v>1</v>
      </c>
      <c r="I8" s="11">
        <f>Tableau1[[#This Row],[Prix HT Unitaire]]*Tableau1[[#This Row],[Quantité]]</f>
        <v>14.99</v>
      </c>
      <c r="K8" s="13" t="s">
        <v>24</v>
      </c>
    </row>
    <row r="9" spans="1:11" x14ac:dyDescent="0.35">
      <c r="B9" s="5" t="s">
        <v>41</v>
      </c>
      <c r="C9" s="6" t="s">
        <v>25</v>
      </c>
      <c r="D9" s="6" t="s">
        <v>11</v>
      </c>
      <c r="E9" s="14"/>
      <c r="F9" s="9">
        <v>4.41</v>
      </c>
      <c r="G9" s="6" t="s">
        <v>12</v>
      </c>
      <c r="H9" s="6">
        <v>3</v>
      </c>
      <c r="I9" s="11">
        <f>Tableau1[[#This Row],[Prix HT Unitaire]]*Tableau1[[#This Row],[Quantité]]</f>
        <v>13.23</v>
      </c>
      <c r="K9" s="13" t="s">
        <v>26</v>
      </c>
    </row>
    <row r="10" spans="1:11" x14ac:dyDescent="0.35">
      <c r="B10" s="5" t="s">
        <v>27</v>
      </c>
      <c r="C10" s="6" t="s">
        <v>28</v>
      </c>
      <c r="D10" s="6" t="s">
        <v>11</v>
      </c>
      <c r="E10" s="14"/>
      <c r="F10" s="9">
        <v>16.989999999999998</v>
      </c>
      <c r="G10" s="6" t="s">
        <v>12</v>
      </c>
      <c r="H10" s="6">
        <v>1</v>
      </c>
      <c r="I10" s="11">
        <f>Tableau1[[#This Row],[Prix HT Unitaire]]*Tableau1[[#This Row],[Quantité]]</f>
        <v>16.989999999999998</v>
      </c>
      <c r="K10" s="13" t="s">
        <v>29</v>
      </c>
    </row>
    <row r="11" spans="1:11" x14ac:dyDescent="0.35">
      <c r="B11" s="5" t="s">
        <v>30</v>
      </c>
      <c r="C11" s="6" t="s">
        <v>31</v>
      </c>
      <c r="D11" s="6" t="s">
        <v>32</v>
      </c>
      <c r="E11" s="14"/>
      <c r="F11" s="9">
        <v>0.69</v>
      </c>
      <c r="G11" s="6" t="s">
        <v>33</v>
      </c>
      <c r="H11" s="6">
        <v>5</v>
      </c>
      <c r="I11" s="11">
        <f>Tableau1[[#This Row],[Prix HT Unitaire]]*Tableau1[[#This Row],[Quantité]]</f>
        <v>3.4499999999999997</v>
      </c>
      <c r="K11" s="13" t="s">
        <v>34</v>
      </c>
    </row>
    <row r="12" spans="1:11" x14ac:dyDescent="0.35">
      <c r="B12" s="7" t="s">
        <v>35</v>
      </c>
      <c r="C12" s="8"/>
      <c r="D12" s="8" t="s">
        <v>11</v>
      </c>
      <c r="E12" s="15"/>
      <c r="F12" s="10">
        <v>4.99</v>
      </c>
      <c r="G12" s="8" t="s">
        <v>12</v>
      </c>
      <c r="H12" s="8">
        <v>1</v>
      </c>
      <c r="I12" s="12">
        <f>Tableau1[[#This Row],[Prix HT Unitaire]]*Tableau1[[#This Row],[Quantité]]</f>
        <v>4.99</v>
      </c>
      <c r="K12" s="13" t="s">
        <v>36</v>
      </c>
    </row>
    <row r="13" spans="1:11" x14ac:dyDescent="0.35">
      <c r="A13" s="4"/>
      <c r="B13" s="7" t="s">
        <v>40</v>
      </c>
      <c r="C13" s="8"/>
      <c r="D13" s="8" t="s">
        <v>38</v>
      </c>
      <c r="E13" s="15"/>
      <c r="F13" s="10">
        <v>11.61</v>
      </c>
      <c r="G13" s="8" t="s">
        <v>12</v>
      </c>
      <c r="H13" s="6">
        <v>3</v>
      </c>
      <c r="I13" s="11">
        <f>Tableau1[[#This Row],[Prix HT Unitaire]]*Tableau1[[#This Row],[Quantité]]</f>
        <v>34.83</v>
      </c>
      <c r="J13" s="4"/>
      <c r="K13" s="13" t="s">
        <v>39</v>
      </c>
    </row>
    <row r="14" spans="1:11" x14ac:dyDescent="0.35">
      <c r="A14" s="4"/>
      <c r="B14" s="4"/>
      <c r="C14" s="4"/>
      <c r="D14" s="4"/>
      <c r="E14" s="4"/>
      <c r="F14" s="4"/>
      <c r="G14" s="4"/>
      <c r="H14" s="16" t="s">
        <v>37</v>
      </c>
      <c r="I14" s="17">
        <f>SUM(Tableau1[Prix HT])</f>
        <v>120.19</v>
      </c>
      <c r="J14" s="4"/>
    </row>
    <row r="15" spans="1:1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</row>
  </sheetData>
  <mergeCells count="1">
    <mergeCell ref="B2:I2"/>
  </mergeCells>
  <hyperlinks>
    <hyperlink ref="K5" r:id="rId1" xr:uid="{B459F2E1-7426-439B-A59D-2AFF8AC59BA5}"/>
    <hyperlink ref="K4" r:id="rId2" display="https://www.amazon.fr/Semoic-Mega2560-Atmega2560-16AU-Compatible-Arduino/dp/B07PTZ5JV4/ref=sr_1_7?__mk_fr_FR=%C3%85M%C3%85%C5%BD%C3%95%C3%91&amp;crid=15O730G6DT979&amp;keywords=arduino+mega+2560&amp;qid=1572361820&amp;s=electronics&amp;sprefix=arduino+mega%2Celectronics%2C186&amp;sr=1-7" xr:uid="{3FEB38E7-2384-483A-B4DC-655E53C32340}"/>
    <hyperlink ref="K9" r:id="rId3" xr:uid="{568DE37F-0149-49AA-8F12-43CDFFEE1521}"/>
    <hyperlink ref="K6" r:id="rId4" display="https://www.amazon.fr/DEnregistrement-Donn%C3%A9es-DAcquisition-Bouclier-DEnregistreur/dp/B07Y23H6L3/ref=sr_1_fkmr0_2?__mk_fr_FR=%C3%85M%C3%85%C5%BD%C3%95%C3%91&amp;keywords=Module+D%27Enregistrement+De+Donn%C3%A9es+Compatible+Avec+Arduino&amp;qid=1572362396&amp;s=industrial&amp;sr=8-2-fkmr0" xr:uid="{50C9AA23-2ED1-4E79-9327-99527CABB33E}"/>
    <hyperlink ref="K7" r:id="rId5" xr:uid="{ABFDEA52-AC85-48D5-8782-15659EFA0285}"/>
    <hyperlink ref="K8" r:id="rId6" xr:uid="{1D84D352-D82F-45BF-967F-61FA9BA7CA51}"/>
    <hyperlink ref="K10" r:id="rId7" xr:uid="{3C87B4E1-4AF4-4119-8007-0EDA02D915DA}"/>
    <hyperlink ref="K11" r:id="rId8" xr:uid="{D1D2EFA0-C226-40E3-93CB-FEF82A6DE904}"/>
    <hyperlink ref="K12" r:id="rId9" xr:uid="{1651BC65-CFFC-4A95-9485-32F4CCAAE0FB}"/>
    <hyperlink ref="K13" r:id="rId10" xr:uid="{9D2F6F40-7E37-4D9D-94F6-165D0998683C}"/>
  </hyperlinks>
  <pageMargins left="0.7" right="0.7" top="0.75" bottom="0.75" header="0.3" footer="0.3"/>
  <pageSetup paperSize="9" orientation="portrait" horizontalDpi="1200" verticalDpi="1200"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Bretonneau</dc:creator>
  <cp:keywords/>
  <dc:description/>
  <cp:lastModifiedBy>Cordier Nathan</cp:lastModifiedBy>
  <cp:revision/>
  <dcterms:created xsi:type="dcterms:W3CDTF">2019-10-29T14:57:26Z</dcterms:created>
  <dcterms:modified xsi:type="dcterms:W3CDTF">2019-11-22T12:48:57Z</dcterms:modified>
  <cp:category/>
  <cp:contentStatus/>
</cp:coreProperties>
</file>