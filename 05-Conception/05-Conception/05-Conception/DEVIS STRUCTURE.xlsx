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ui\Desktop\CFA\Système Numérique\Projet ACER\"/>
    </mc:Choice>
  </mc:AlternateContent>
  <xr:revisionPtr revIDLastSave="0" documentId="8_{938D7D5B-904C-4467-BBE1-F8A1A2D9E010}" xr6:coauthVersionLast="45" xr6:coauthVersionMax="45" xr10:uidLastSave="{00000000-0000-0000-0000-000000000000}"/>
  <bookViews>
    <workbookView xWindow="-120" yWindow="-120" windowWidth="24240" windowHeight="13140" xr2:uid="{CEF57803-E7B2-4967-AA8E-F5E9F1F7FA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1" l="1"/>
  <c r="G9" i="1"/>
  <c r="D3" i="1"/>
  <c r="D4" i="1"/>
  <c r="D5" i="1"/>
  <c r="D6" i="1"/>
  <c r="D7" i="1"/>
  <c r="D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<sst xmlns="http://schemas.openxmlformats.org/spreadsheetml/2006/main" count="30" uniqueCount="25">
  <si>
    <t>DESCRIPTION</t>
  </si>
  <si>
    <t>FOURNISSEUR</t>
  </si>
  <si>
    <t>PRIX TTC</t>
  </si>
  <si>
    <t>PRIX HT</t>
  </si>
  <si>
    <t>QUANTITÉ</t>
  </si>
  <si>
    <t>RÉFERENCE</t>
  </si>
  <si>
    <t>Technic-Achat</t>
  </si>
  <si>
    <t>Profilé aluminium 30x30, rainures 8mm, longueur 3000mm</t>
  </si>
  <si>
    <t>TAP83030_3</t>
  </si>
  <si>
    <t>Raccord cube 30x30, 3 barres + visserie</t>
  </si>
  <si>
    <t>TACUB_30x30_3B</t>
  </si>
  <si>
    <t>Equerre de fixation 30x30 + visserie</t>
  </si>
  <si>
    <t>TAEQU8_FIX30x30</t>
  </si>
  <si>
    <t>Patin carré 15x10x4 M6</t>
  </si>
  <si>
    <t>TAPAT_15X10X4_M6</t>
  </si>
  <si>
    <t>Vis d'alesage auto-taraudeuse S8x25-T40 R8</t>
  </si>
  <si>
    <t>TAVIS8AL_S8X25</t>
  </si>
  <si>
    <t>Vis CHC tête cylindrique 6 pans creux, M6x20 (100 pcs)</t>
  </si>
  <si>
    <t>VIS_CHC_M6X20_ACG100</t>
  </si>
  <si>
    <t>PRIX TOTAL HT</t>
  </si>
  <si>
    <t>SOUS TOTAL HT</t>
  </si>
  <si>
    <t>FRAIS DE TRANSPORT</t>
  </si>
  <si>
    <t>TVA</t>
  </si>
  <si>
    <t>REDUCTION</t>
  </si>
  <si>
    <t>PRIX TOTAL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</si>
</sst>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44" fontId="0" fillId="0" borderId="2" xfId="1" applyFont="1" applyBorder="1"/>
    <xf numFmtId="44" fontId="0" fillId="0" borderId="3" xfId="1" applyFont="1" applyBorder="1"/>
    <xf numFmtId="44" fontId="0" fillId="0" borderId="4" xfId="1" applyFont="1" applyBorder="1"/>
    <xf numFmtId="0" fontId="0" fillId="2" borderId="8" xfId="0" applyFill="1" applyBorder="1"/>
    <xf numFmtId="0" fontId="0" fillId="2" borderId="9" xfId="0" applyFill="1" applyBorder="1"/>
    <xf numFmtId="164" fontId="0" fillId="2" borderId="9" xfId="0" applyNumberFormat="1" applyFill="1" applyBorder="1"/>
    <xf numFmtId="44" fontId="0" fillId="2" borderId="9" xfId="1" applyFont="1" applyFill="1" applyBorder="1"/>
    <xf numFmtId="44" fontId="0" fillId="2" borderId="5" xfId="1" applyFont="1" applyFill="1" applyBorder="1"/>
    <xf numFmtId="44" fontId="0" fillId="2" borderId="6" xfId="0" applyNumberFormat="1" applyFill="1" applyBorder="1"/>
    <xf numFmtId="44" fontId="0" fillId="2" borderId="6" xfId="1" applyFont="1" applyFill="1" applyBorder="1"/>
    <xf numFmtId="44" fontId="0" fillId="2" borderId="7" xfId="0" applyNumberForma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0" xfId="0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C192-3549-4FA1-9305-F3C59A267D9C}">
  <dimension ref="A1:G21"/>
  <sheetViews>
    <sheetView tabSelected="1" workbookViewId="0">
      <selection activeCell="C18" sqref="C18"/>
    </sheetView>
  </sheetViews>
  <sheetFormatPr baseColWidth="10" defaultRowHeight="15" x14ac:dyDescent="0.25"/>
  <cols>
    <col min="1" max="1" width="53.5703125" bestFit="1" customWidth="1"/>
    <col min="2" max="2" width="13.28515625" bestFit="1" customWidth="1"/>
    <col min="3" max="3" width="23.28515625" bestFit="1" customWidth="1"/>
    <col min="7" max="7" width="13.71093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19</v>
      </c>
    </row>
    <row r="2" spans="1:7" x14ac:dyDescent="0.25">
      <c r="A2" s="2" t="s">
        <v>7</v>
      </c>
      <c r="B2" s="2" t="s">
        <v>6</v>
      </c>
      <c r="C2" s="2" t="s">
        <v>8</v>
      </c>
      <c r="D2" s="5">
        <f>E2+(E2/100*20)</f>
        <v>24.263999999999999</v>
      </c>
      <c r="E2" s="8">
        <v>20.22</v>
      </c>
      <c r="F2" s="2">
        <v>6</v>
      </c>
      <c r="G2" s="8">
        <f>E2*F2</f>
        <v>121.32</v>
      </c>
    </row>
    <row r="3" spans="1:7" x14ac:dyDescent="0.25">
      <c r="A3" s="3" t="s">
        <v>9</v>
      </c>
      <c r="B3" s="3" t="s">
        <v>6</v>
      </c>
      <c r="C3" s="3" t="s">
        <v>10</v>
      </c>
      <c r="D3" s="6">
        <f t="shared" ref="D3:D7" si="0">E3+(E3/100*20)</f>
        <v>10.715999999999999</v>
      </c>
      <c r="E3" s="9">
        <v>8.93</v>
      </c>
      <c r="F3" s="3">
        <v>4</v>
      </c>
      <c r="G3" s="9">
        <f t="shared" ref="G3:G7" si="1">E3*F3</f>
        <v>35.72</v>
      </c>
    </row>
    <row r="4" spans="1:7" x14ac:dyDescent="0.25">
      <c r="A4" s="3" t="s">
        <v>11</v>
      </c>
      <c r="B4" s="3" t="s">
        <v>6</v>
      </c>
      <c r="C4" s="3" t="s">
        <v>12</v>
      </c>
      <c r="D4" s="6">
        <f t="shared" si="0"/>
        <v>3.6</v>
      </c>
      <c r="E4" s="9">
        <v>3</v>
      </c>
      <c r="F4" s="3">
        <v>10</v>
      </c>
      <c r="G4" s="9">
        <f t="shared" si="1"/>
        <v>30</v>
      </c>
    </row>
    <row r="5" spans="1:7" x14ac:dyDescent="0.25">
      <c r="A5" s="3" t="s">
        <v>13</v>
      </c>
      <c r="B5" s="3" t="s">
        <v>6</v>
      </c>
      <c r="C5" s="3" t="s">
        <v>14</v>
      </c>
      <c r="D5" s="6">
        <f t="shared" si="0"/>
        <v>0.32400000000000001</v>
      </c>
      <c r="E5" s="9">
        <v>0.27</v>
      </c>
      <c r="F5" s="3">
        <v>50</v>
      </c>
      <c r="G5" s="9">
        <f t="shared" si="1"/>
        <v>13.5</v>
      </c>
    </row>
    <row r="6" spans="1:7" x14ac:dyDescent="0.25">
      <c r="A6" s="3" t="s">
        <v>15</v>
      </c>
      <c r="B6" s="3" t="s">
        <v>6</v>
      </c>
      <c r="C6" s="3" t="s">
        <v>16</v>
      </c>
      <c r="D6" s="6">
        <f t="shared" si="0"/>
        <v>0.54</v>
      </c>
      <c r="E6" s="9">
        <v>0.45</v>
      </c>
      <c r="F6" s="3">
        <v>8</v>
      </c>
      <c r="G6" s="9">
        <f t="shared" si="1"/>
        <v>3.6</v>
      </c>
    </row>
    <row r="7" spans="1:7" ht="15.75" thickBot="1" x14ac:dyDescent="0.3">
      <c r="A7" s="4" t="s">
        <v>17</v>
      </c>
      <c r="B7" s="4" t="s">
        <v>6</v>
      </c>
      <c r="C7" s="4" t="s">
        <v>18</v>
      </c>
      <c r="D7" s="7">
        <f t="shared" si="0"/>
        <v>4.1160000000000005</v>
      </c>
      <c r="E7" s="10">
        <v>3.43</v>
      </c>
      <c r="F7" s="4">
        <v>1</v>
      </c>
      <c r="G7" s="10">
        <f t="shared" si="1"/>
        <v>3.43</v>
      </c>
    </row>
    <row r="8" spans="1:7" x14ac:dyDescent="0.25">
      <c r="A8" s="11" t="s">
        <v>23</v>
      </c>
      <c r="B8" s="12"/>
      <c r="C8" s="12"/>
      <c r="D8" s="13"/>
      <c r="E8" s="14"/>
      <c r="F8" s="12"/>
      <c r="G8" s="15">
        <v>10.71</v>
      </c>
    </row>
    <row r="9" spans="1:7" x14ac:dyDescent="0.25">
      <c r="A9" s="22" t="s">
        <v>20</v>
      </c>
      <c r="B9" s="20"/>
      <c r="C9" s="20"/>
      <c r="D9" s="20"/>
      <c r="E9" s="20"/>
      <c r="F9" s="20"/>
      <c r="G9" s="16">
        <f>G2+G3+G4+G5+G6+G7-G8</f>
        <v>196.85999999999999</v>
      </c>
    </row>
    <row r="10" spans="1:7" x14ac:dyDescent="0.25">
      <c r="A10" s="22" t="s">
        <v>21</v>
      </c>
      <c r="B10" s="20"/>
      <c r="C10" s="20"/>
      <c r="D10" s="20"/>
      <c r="E10" s="20"/>
      <c r="F10" s="20"/>
      <c r="G10" s="17">
        <v>33</v>
      </c>
    </row>
    <row r="11" spans="1:7" x14ac:dyDescent="0.25">
      <c r="A11" s="22" t="s">
        <v>22</v>
      </c>
      <c r="B11" s="20"/>
      <c r="C11" s="20"/>
      <c r="D11" s="20"/>
      <c r="E11" s="20"/>
      <c r="F11" s="20"/>
      <c r="G11" s="16">
        <v>45.97</v>
      </c>
    </row>
    <row r="12" spans="1:7" ht="15.75" thickBot="1" x14ac:dyDescent="0.3">
      <c r="A12" s="21" t="s">
        <v>24</v>
      </c>
      <c r="B12" s="19"/>
      <c r="C12" s="19"/>
      <c r="D12" s="19"/>
      <c r="E12" s="19"/>
      <c r="F12" s="19"/>
      <c r="G12" s="18">
        <f>G9+G11+G10</f>
        <v>275.83</v>
      </c>
    </row>
    <row r="17" spans="3:3" x14ac:dyDescent="0.25">
      <c r="C17" s="23"/>
    </row>
    <row r="18" spans="3:3" x14ac:dyDescent="0.25">
      <c r="C18" s="23"/>
    </row>
    <row r="19" spans="3:3" x14ac:dyDescent="0.25">
      <c r="C19" s="23"/>
    </row>
    <row r="20" spans="3:3" x14ac:dyDescent="0.25">
      <c r="C20" s="23"/>
    </row>
    <row r="21" spans="3:3" x14ac:dyDescent="0.25">
      <c r="C2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Frouin</dc:creator>
  <cp:lastModifiedBy>Félix Frouin</cp:lastModifiedBy>
  <dcterms:created xsi:type="dcterms:W3CDTF">2020-02-11T09:43:16Z</dcterms:created>
  <dcterms:modified xsi:type="dcterms:W3CDTF">2020-02-11T10:41:38Z</dcterms:modified>
</cp:coreProperties>
</file>